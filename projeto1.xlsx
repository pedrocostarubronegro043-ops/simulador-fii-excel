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TO PERIODO\engenharia da sociedade\"/>
    </mc:Choice>
  </mc:AlternateContent>
  <xr:revisionPtr revIDLastSave="0" documentId="13_ncr:1_{05222C19-93CB-4D0E-9178-7D2B3C2177B0}" xr6:coauthVersionLast="47" xr6:coauthVersionMax="47" xr10:uidLastSave="{00000000-0000-0000-0000-000000000000}"/>
  <bookViews>
    <workbookView xWindow="-120" yWindow="-120" windowWidth="29040" windowHeight="15840" xr2:uid="{D420B39B-BC06-4ADE-928C-3D9A62A07E9C}"/>
  </bookViews>
  <sheets>
    <sheet name="app" sheetId="1" r:id="rId1"/>
    <sheet name="percentuais" sheetId="2" r:id="rId2"/>
  </sheets>
  <definedNames>
    <definedName name="_xlnm._FilterDatabase" localSheetId="0" hidden="1">app!$B$38:$C$38</definedName>
    <definedName name="aporte">app!$D$23</definedName>
    <definedName name="patrimonio">app!$D$26</definedName>
    <definedName name="qtd_anos">app!$D$24</definedName>
    <definedName name="rendimento_carteira">app!$D$17</definedName>
    <definedName name="salario">app!$D$16</definedName>
    <definedName name="sugestao_investimento">app!$D$18</definedName>
    <definedName name="taxa_mensal">app!$D$25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  <c r="A3" i="2"/>
  <c r="C43" i="1" s="1"/>
  <c r="A15" i="2"/>
  <c r="A16" i="2"/>
  <c r="A17" i="2"/>
  <c r="A18" i="2"/>
  <c r="A19" i="2"/>
  <c r="A20" i="2"/>
  <c r="A10" i="2"/>
  <c r="A11" i="2"/>
  <c r="A12" i="2"/>
  <c r="A13" i="2"/>
  <c r="A14" i="2"/>
  <c r="A9" i="2"/>
  <c r="A4" i="2"/>
  <c r="C45" i="1" s="1"/>
  <c r="A5" i="2"/>
  <c r="A6" i="2"/>
  <c r="A7" i="2"/>
  <c r="A8" i="2"/>
  <c r="C39" i="1"/>
  <c r="D26" i="1"/>
  <c r="D27" i="1" s="1"/>
  <c r="D32" i="1"/>
  <c r="D33" i="1"/>
  <c r="D34" i="1"/>
  <c r="D35" i="1"/>
  <c r="D31" i="1"/>
  <c r="C48" i="1" l="1"/>
  <c r="C47" i="1"/>
  <c r="D47" i="1" s="1"/>
  <c r="C46" i="1"/>
  <c r="D46" i="1" s="1"/>
  <c r="D45" i="1"/>
  <c r="D44" i="1"/>
  <c r="D48" i="1"/>
  <c r="D43" i="1"/>
  <c r="D18" i="1"/>
  <c r="D49" i="1" l="1"/>
</calcChain>
</file>

<file path=xl/sharedStrings.xml><?xml version="1.0" encoding="utf-8"?>
<sst xmlns="http://schemas.openxmlformats.org/spreadsheetml/2006/main" count="70" uniqueCount="35">
  <si>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</si>
  <si>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</si>
  <si>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</si>
  <si>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</si>
  <si>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</si>
  <si>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</si>
  <si>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eu teria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</si>
  <si>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</si>
  <si>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</si>
  <si>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</si>
  <si>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</si>
  <si>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</si>
  <si>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</si>
  <si>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</si>
  <si>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salario</t>
  </si>
  <si>
    <t>rendimento carteira</t>
  </si>
  <si>
    <t>sugestao de investimento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</si>
  <si>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</si>
  <si>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</si>
  <si>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</si>
  <si>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</si>
  <si>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</si>
  <si>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</si>
  <si>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</si>
  <si>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</si>
  <si>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</si>
  <si>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</t>
  </si>
  <si>
    <t>DESENVOLVIMENTO</t>
  </si>
  <si>
    <t>HOTELARIAS</t>
  </si>
  <si>
    <t>TOTAL</t>
  </si>
  <si>
    <t>tipo de FII</t>
  </si>
  <si>
    <t>Conservador</t>
  </si>
  <si>
    <t>chave</t>
  </si>
  <si>
    <t>Moderado</t>
  </si>
  <si>
    <t>percentual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</si>
</sst>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48"/>
      <color theme="0"/>
      <name val="Calibri"/>
      <family val="2"/>
      <scheme val="minor"/>
    </font>
    <font>
      <sz val="14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69">
    <xf numFmtId="0" fontId="0" fillId="0" borderId="0" xfId="0"/>
    <xf numFmtId="0" fontId="2" fillId="2" borderId="5" xfId="0" applyFont="1" applyFill="1" applyBorder="1" applyAlignment="1">
      <alignment horizontal="center"/>
    </xf>
    <xf numFmtId="10" fontId="2" fillId="2" borderId="5" xfId="0" applyNumberFormat="1" applyFont="1" applyFill="1" applyBorder="1" applyAlignment="1">
      <alignment horizontal="center"/>
    </xf>
    <xf numFmtId="8" fontId="2" fillId="3" borderId="5" xfId="0" applyNumberFormat="1" applyFont="1" applyFill="1" applyBorder="1" applyAlignment="1">
      <alignment horizontal="center"/>
    </xf>
    <xf numFmtId="8" fontId="2" fillId="3" borderId="7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4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3" borderId="2" xfId="0" applyFont="1" applyFill="1" applyBorder="1"/>
    <xf numFmtId="0" fontId="4" fillId="3" borderId="4" xfId="0" applyFont="1" applyFill="1" applyBorder="1"/>
    <xf numFmtId="8" fontId="1" fillId="3" borderId="11" xfId="1" applyNumberFormat="1" applyFont="1" applyFill="1" applyBorder="1" applyAlignment="1">
      <alignment horizontal="center"/>
    </xf>
    <xf numFmtId="8" fontId="1" fillId="3" borderId="12" xfId="0" applyNumberFormat="1" applyFont="1" applyFill="1" applyBorder="1" applyAlignment="1">
      <alignment horizontal="center"/>
    </xf>
    <xf numFmtId="0" fontId="4" fillId="3" borderId="6" xfId="0" applyFont="1" applyFill="1" applyBorder="1"/>
    <xf numFmtId="8" fontId="1" fillId="3" borderId="13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8" fontId="1" fillId="3" borderId="12" xfId="1" applyNumberFormat="1" applyFont="1" applyFill="1" applyBorder="1" applyAlignment="1"/>
    <xf numFmtId="8" fontId="1" fillId="3" borderId="5" xfId="1" applyNumberFormat="1" applyFont="1" applyFill="1" applyBorder="1" applyAlignment="1"/>
    <xf numFmtId="8" fontId="1" fillId="3" borderId="13" xfId="1" applyNumberFormat="1" applyFont="1" applyFill="1" applyBorder="1" applyAlignment="1"/>
    <xf numFmtId="8" fontId="1" fillId="3" borderId="7" xfId="1" applyNumberFormat="1" applyFont="1" applyFill="1" applyBorder="1" applyAlignment="1"/>
    <xf numFmtId="0" fontId="3" fillId="4" borderId="14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8" fontId="1" fillId="3" borderId="11" xfId="1" applyNumberFormat="1" applyFont="1" applyFill="1" applyBorder="1" applyAlignment="1"/>
    <xf numFmtId="8" fontId="1" fillId="3" borderId="3" xfId="1" applyNumberFormat="1" applyFont="1" applyFill="1" applyBorder="1" applyAlignment="1"/>
    <xf numFmtId="166" fontId="2" fillId="2" borderId="3" xfId="1" applyNumberFormat="1" applyFont="1" applyFill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9" fillId="6" borderId="8" xfId="0" applyFont="1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9" fillId="6" borderId="14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vertical="center"/>
    </xf>
    <xf numFmtId="166" fontId="0" fillId="0" borderId="11" xfId="1" applyNumberFormat="1" applyFont="1" applyBorder="1" applyAlignment="1">
      <alignment horizontal="center"/>
    </xf>
    <xf numFmtId="166" fontId="0" fillId="0" borderId="3" xfId="1" applyNumberFormat="1" applyFont="1" applyBorder="1" applyAlignment="1">
      <alignment horizontal="center"/>
    </xf>
    <xf numFmtId="0" fontId="5" fillId="5" borderId="0" xfId="3" applyFont="1" applyBorder="1"/>
    <xf numFmtId="0" fontId="5" fillId="5" borderId="0" xfId="3" applyFont="1"/>
    <xf numFmtId="0" fontId="7" fillId="2" borderId="0" xfId="0" applyFont="1" applyFill="1"/>
    <xf numFmtId="166" fontId="7" fillId="2" borderId="0" xfId="1" applyNumberFormat="1" applyFont="1" applyFill="1" applyAlignment="1">
      <alignment horizontal="center"/>
    </xf>
    <xf numFmtId="0" fontId="0" fillId="2" borderId="0" xfId="0" applyFill="1"/>
    <xf numFmtId="0" fontId="5" fillId="5" borderId="0" xfId="3" applyFont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left"/>
    </xf>
    <xf numFmtId="166" fontId="7" fillId="7" borderId="0" xfId="0" applyNumberFormat="1" applyFont="1" applyFill="1"/>
    <xf numFmtId="0" fontId="0" fillId="0" borderId="0" xfId="0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0" fillId="0" borderId="0" xfId="2" applyFont="1"/>
    <xf numFmtId="9" fontId="0" fillId="0" borderId="0" xfId="2" applyFont="1" applyBorder="1"/>
    <xf numFmtId="9" fontId="0" fillId="0" borderId="16" xfId="2" applyFont="1" applyBorder="1"/>
    <xf numFmtId="9" fontId="0" fillId="0" borderId="15" xfId="2" applyFont="1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Conservador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percentuais!$C$3:$C$8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percentuais!$D$3:$D$8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6-47D5-AC91-872EE9B76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Moderado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percentuais!$C$9:$C$14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percentuais!$D$9:$D$14</c:f>
              <c:numCache>
                <c:formatCode>0%</c:formatCode>
                <c:ptCount val="6"/>
                <c:pt idx="0">
                  <c:v>0.22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5-466E-8504-E525CB82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Agressivo</a:t>
            </a:r>
          </a:p>
          <a:p>
            <a:pPr>
              <a:defRPr/>
            </a:pP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percentuais!$C$15:$C$20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percentuais!$D$15:$D$20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1-4032-87CE-24B0A14BF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69504</xdr:colOff>
      <xdr:row>7</xdr:row>
      <xdr:rowOff>41413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1B5A46B-BA96-99A5-5BEF-82DD5E532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9" b="14318"/>
        <a:stretch>
          <a:fillRect/>
        </a:stretch>
      </xdr:blipFill>
      <xdr:spPr>
        <a:xfrm>
          <a:off x="0" y="0"/>
          <a:ext cx="7308504" cy="13749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5</xdr:row>
      <xdr:rowOff>71437</xdr:rowOff>
    </xdr:from>
    <xdr:to>
      <xdr:col>12</xdr:col>
      <xdr:colOff>409575</xdr:colOff>
      <xdr:row>19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7F14F0-36C0-88F8-2DBB-DE54A4691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61912</xdr:colOff>
      <xdr:row>5</xdr:row>
      <xdr:rowOff>33337</xdr:rowOff>
    </xdr:from>
    <xdr:to>
      <xdr:col>20</xdr:col>
      <xdr:colOff>366712</xdr:colOff>
      <xdr:row>19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466A44-8AA9-4DD1-4D45-A75D4F6FF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309562</xdr:colOff>
      <xdr:row>20</xdr:row>
      <xdr:rowOff>61912</xdr:rowOff>
    </xdr:from>
    <xdr:to>
      <xdr:col>16</xdr:col>
      <xdr:colOff>4762</xdr:colOff>
      <xdr:row>34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6DE68C-21FB-0DAC-B6C0-AEB2C9C7A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FA63-DC0E-43F1-B0ED-7C59EABE5C9B}">
  <dimension ref="B14:XFD49"/>
  <sheetViews>
    <sheetView showGridLines="0" tabSelected="1" zoomScale="115" zoomScaleNormal="115" workbookViewId="0">
      <selection activeCell="D18" sqref="D18"/>
    </sheetView>
  </sheetViews>
  <sheetFormatPr defaultColWidth="0" defaultRowHeight="15" x14ac:dyDescent="0.25"/>
  <cols>
    <col min="1" max="1" width="9.140625" customWidth="1"/>
    <col min="2" max="2" width="55.7109375" customWidth="1"/>
    <col min="3" max="3" width="28.7109375" customWidth="1"/>
    <col min="4" max="4" width="14.85546875" bestFit="1" customWidth="1"/>
    <col min="5" max="6" width="9.140625" customWidth="1"/>
    <col min="7" max="7" width="16.140625" customWidth="1"/>
    <col min="8" max="10" width="9.140625" customWidth="1"/>
    <col min="11" max="11" width="10.42578125" customWidth="1"/>
    <col min="12" max="16383" width="9.140625" hidden="1"/>
    <col min="16384" max="16384" width="1.42578125" customWidth="1"/>
  </cols>
  <sheetData>
    <row r="14" spans="2:4" ht="15.75" thickBot="1" x14ac:dyDescent="0.3"/>
    <row r="15" spans="2:4" ht="29.25" thickBot="1" x14ac:dyDescent="0.3">
      <c r="B15" s="40" t="s">
        <v>13</v>
      </c>
      <c r="C15" s="44"/>
      <c r="D15" s="45"/>
    </row>
    <row r="16" spans="2:4" x14ac:dyDescent="0.25">
      <c r="B16" s="41" t="s">
        <v>14</v>
      </c>
      <c r="C16" s="46"/>
      <c r="D16" s="47">
        <v>4200</v>
      </c>
    </row>
    <row r="17" spans="2:9" ht="15.75" customHeight="1" x14ac:dyDescent="0.25">
      <c r="B17" s="42" t="s">
        <v>15</v>
      </c>
      <c r="C17" s="38"/>
      <c r="D17" s="28">
        <v>6.0000000000000001E-3</v>
      </c>
    </row>
    <row r="18" spans="2:9" ht="15.75" customHeight="1" thickBot="1" x14ac:dyDescent="0.3">
      <c r="B18" s="43" t="s">
        <v>16</v>
      </c>
      <c r="C18" s="39"/>
      <c r="D18" s="29">
        <f>D16*30%</f>
        <v>1260</v>
      </c>
    </row>
    <row r="19" spans="2:9" ht="15.75" customHeight="1" x14ac:dyDescent="0.25"/>
    <row r="20" spans="2:9" ht="15.75" customHeight="1" x14ac:dyDescent="0.25"/>
    <row r="21" spans="2:9" ht="15.75" customHeight="1" thickBot="1" x14ac:dyDescent="0.3"/>
    <row r="22" spans="2:9" ht="58.5" customHeight="1" thickBot="1" x14ac:dyDescent="0.3">
      <c r="B22" s="5" t="s">
        <v>5</v>
      </c>
      <c r="C22" s="9"/>
      <c r="D22" s="7"/>
    </row>
    <row r="23" spans="2:9" ht="17.25" customHeight="1" x14ac:dyDescent="0.35">
      <c r="B23" s="30" t="s">
        <v>0</v>
      </c>
      <c r="C23" s="36"/>
      <c r="D23" s="27">
        <v>500</v>
      </c>
    </row>
    <row r="24" spans="2:9" ht="17.25" customHeight="1" x14ac:dyDescent="0.35">
      <c r="B24" s="31" t="s">
        <v>1</v>
      </c>
      <c r="C24" s="34"/>
      <c r="D24" s="1">
        <v>5</v>
      </c>
    </row>
    <row r="25" spans="2:9" ht="17.25" customHeight="1" x14ac:dyDescent="0.35">
      <c r="B25" s="31" t="s">
        <v>2</v>
      </c>
      <c r="C25" s="34"/>
      <c r="D25" s="2">
        <v>1.0789999999999999E-2</v>
      </c>
    </row>
    <row r="26" spans="2:9" ht="17.25" customHeight="1" x14ac:dyDescent="0.35">
      <c r="B26" s="32" t="s">
        <v>3</v>
      </c>
      <c r="C26" s="35"/>
      <c r="D26" s="3">
        <f>FV(taxa_mensal,qtd_anos*12,-aporte)</f>
        <v>41888.456999243819</v>
      </c>
      <c r="F26" s="10"/>
      <c r="G26" s="10"/>
      <c r="H26" s="10"/>
      <c r="I26" s="10"/>
    </row>
    <row r="27" spans="2:9" ht="18" customHeight="1" thickBot="1" x14ac:dyDescent="0.4">
      <c r="B27" s="33" t="s">
        <v>4</v>
      </c>
      <c r="C27" s="37"/>
      <c r="D27" s="4">
        <f>patrimonio*rendimento_carteira</f>
        <v>251.33074199546292</v>
      </c>
      <c r="F27" s="10"/>
      <c r="G27" s="10"/>
      <c r="H27" s="10"/>
      <c r="I27" s="10"/>
    </row>
    <row r="29" spans="2:9" ht="15.75" thickBot="1" x14ac:dyDescent="0.3"/>
    <row r="30" spans="2:9" ht="62.25" thickBot="1" x14ac:dyDescent="0.3">
      <c r="B30" s="6" t="s">
        <v>11</v>
      </c>
      <c r="C30" s="22"/>
      <c r="D30" s="23" t="s">
        <v>12</v>
      </c>
      <c r="E30" s="24"/>
    </row>
    <row r="31" spans="2:9" ht="20.25" x14ac:dyDescent="0.35">
      <c r="B31" s="11" t="s">
        <v>6</v>
      </c>
      <c r="C31" s="13">
        <v>13613.813648822608</v>
      </c>
      <c r="D31" s="25">
        <f>C31*rendimento_carteira</f>
        <v>81.682881892935654</v>
      </c>
      <c r="E31" s="26"/>
    </row>
    <row r="32" spans="2:9" ht="20.25" x14ac:dyDescent="0.35">
      <c r="B32" s="12" t="s">
        <v>7</v>
      </c>
      <c r="C32" s="14">
        <v>41888.456999243819</v>
      </c>
      <c r="D32" s="18">
        <f>C32*rendimento_carteira</f>
        <v>251.33074199546292</v>
      </c>
      <c r="E32" s="19"/>
    </row>
    <row r="33" spans="2:5" ht="20.25" x14ac:dyDescent="0.35">
      <c r="B33" s="12" t="s">
        <v>8</v>
      </c>
      <c r="C33" s="14">
        <v>121642.1062650861</v>
      </c>
      <c r="D33" s="18">
        <f>C33*rendimento_carteira</f>
        <v>729.85263759051657</v>
      </c>
      <c r="E33" s="19"/>
    </row>
    <row r="34" spans="2:5" ht="20.25" x14ac:dyDescent="0.35">
      <c r="B34" s="12" t="s">
        <v>9</v>
      </c>
      <c r="C34" s="14">
        <v>562599.20004854025</v>
      </c>
      <c r="D34" s="18">
        <f>C34*rendimento_carteira</f>
        <v>3375.5952002912418</v>
      </c>
      <c r="E34" s="19"/>
    </row>
    <row r="35" spans="2:5" ht="21" thickBot="1" x14ac:dyDescent="0.4">
      <c r="B35" s="15" t="s">
        <v>10</v>
      </c>
      <c r="C35" s="16">
        <v>2161084.8275023573</v>
      </c>
      <c r="D35" s="20">
        <f>C35*rendimento_carteira</f>
        <v>12966.508965014144</v>
      </c>
      <c r="E35" s="21"/>
    </row>
    <row r="38" spans="2:5" x14ac:dyDescent="0.25">
      <c r="B38" s="48" t="s">
        <v>17</v>
      </c>
      <c r="C38" s="53" t="s">
        <v>31</v>
      </c>
      <c r="D38" s="49"/>
    </row>
    <row r="39" spans="2:5" x14ac:dyDescent="0.25">
      <c r="B39" s="50" t="s">
        <v>19</v>
      </c>
      <c r="C39" s="51">
        <f>aporte</f>
        <v>500</v>
      </c>
      <c r="D39" s="52"/>
    </row>
    <row r="42" spans="2:5" x14ac:dyDescent="0.25">
      <c r="B42" s="56" t="s">
        <v>20</v>
      </c>
      <c r="C42" s="57" t="s">
        <v>21</v>
      </c>
      <c r="D42" s="57" t="s">
        <v>22</v>
      </c>
    </row>
    <row r="43" spans="2:5" x14ac:dyDescent="0.25">
      <c r="B43" s="8" t="s">
        <v>23</v>
      </c>
      <c r="C43" s="54">
        <f>VLOOKUP($C$38&amp;"-"&amp;B43,percentuais!$A$3:$D$20,4,0)</f>
        <v>0.3</v>
      </c>
      <c r="D43" s="55">
        <f>C43*$C$39</f>
        <v>150</v>
      </c>
    </row>
    <row r="44" spans="2:5" x14ac:dyDescent="0.25">
      <c r="B44" s="8" t="s">
        <v>24</v>
      </c>
      <c r="C44" s="54">
        <f>VLOOKUP($C$38&amp;"-"&amp;B44,percentuais!$A$3:$D$20,4,0)</f>
        <v>0.5</v>
      </c>
      <c r="D44" s="55">
        <f t="shared" ref="D44:D48" si="0">C44*$C$39</f>
        <v>250</v>
      </c>
    </row>
    <row r="45" spans="2:5" x14ac:dyDescent="0.25">
      <c r="B45" s="8" t="s">
        <v>25</v>
      </c>
      <c r="C45" s="54">
        <f>VLOOKUP($C$38&amp;"-"&amp;B45,percentuais!$A$3:$D$20,4,0)</f>
        <v>0.1</v>
      </c>
      <c r="D45" s="55">
        <f t="shared" si="0"/>
        <v>50</v>
      </c>
    </row>
    <row r="46" spans="2:5" x14ac:dyDescent="0.25">
      <c r="B46" s="8" t="s">
        <v>26</v>
      </c>
      <c r="C46" s="54">
        <f>VLOOKUP($C$38&amp;"-"&amp;B46,percentuais!$A$3:$D$20,4,0)</f>
        <v>0.1</v>
      </c>
      <c r="D46" s="55">
        <f t="shared" si="0"/>
        <v>50</v>
      </c>
    </row>
    <row r="47" spans="2:5" x14ac:dyDescent="0.25">
      <c r="B47" s="8" t="s">
        <v>27</v>
      </c>
      <c r="C47" s="54">
        <f>VLOOKUP($C$38&amp;"-"&amp;B47,percentuais!$A$3:$D$20,4,0)</f>
        <v>0</v>
      </c>
      <c r="D47" s="55">
        <f t="shared" si="0"/>
        <v>0</v>
      </c>
    </row>
    <row r="48" spans="2:5" x14ac:dyDescent="0.25">
      <c r="B48" s="8" t="s">
        <v>28</v>
      </c>
      <c r="C48" s="54">
        <f>VLOOKUP($C$38&amp;"-"&amp;B48,percentuais!$A$3:$D$20,4,0)</f>
        <v>0</v>
      </c>
      <c r="D48" s="55">
        <f t="shared" si="0"/>
        <v>0</v>
      </c>
    </row>
    <row r="49" spans="2:4" x14ac:dyDescent="0.25">
      <c r="B49" s="58" t="s">
        <v>29</v>
      </c>
      <c r="C49" s="57"/>
      <c r="D49" s="59">
        <f>SUM(D43:D48)</f>
        <v>500</v>
      </c>
    </row>
  </sheetData>
  <mergeCells count="14">
    <mergeCell ref="B15:C15"/>
    <mergeCell ref="H26:I26"/>
    <mergeCell ref="H27:I27"/>
    <mergeCell ref="B23:C23"/>
    <mergeCell ref="B24:C24"/>
    <mergeCell ref="B25:C25"/>
    <mergeCell ref="B26:C26"/>
    <mergeCell ref="B27:C27"/>
    <mergeCell ref="B16:C16"/>
    <mergeCell ref="B17:C17"/>
    <mergeCell ref="B18:C18"/>
    <mergeCell ref="F26:G26"/>
    <mergeCell ref="F27:G27"/>
    <mergeCell ref="B22:C22"/>
  </mergeCells>
  <dataValidations count="1">
    <dataValidation type="list" allowBlank="1" showInputMessage="1" showErrorMessage="1" sqref="C38" xr:uid="{BC6D15A3-50F8-4B8A-A782-708C81F9B0D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4178-1CDA-4A09-8EFC-1DB76EC17834}">
  <dimension ref="A2:D21"/>
  <sheetViews>
    <sheetView showGridLines="0" workbookViewId="0">
      <selection activeCell="D3" sqref="D3"/>
    </sheetView>
  </sheetViews>
  <sheetFormatPr defaultRowHeight="15" x14ac:dyDescent="0.25"/>
  <cols>
    <col min="1" max="1" width="18.7109375" bestFit="1" customWidth="1"/>
    <col min="2" max="2" width="12.28515625" bestFit="1" customWidth="1"/>
    <col min="3" max="3" width="19" bestFit="1" customWidth="1"/>
    <col min="4" max="4" width="12.140625" style="65" bestFit="1" customWidth="1"/>
    <col min="6" max="6" width="10.140625" bestFit="1" customWidth="1"/>
  </cols>
  <sheetData>
    <row r="2" spans="1:4" x14ac:dyDescent="0.25">
      <c r="A2" t="s">
        <v>32</v>
      </c>
      <c r="B2" t="s">
        <v>17</v>
      </c>
      <c r="C2" t="s">
        <v>30</v>
      </c>
      <c r="D2" s="65" t="s">
        <v>34</v>
      </c>
    </row>
    <row r="3" spans="1:4" x14ac:dyDescent="0.25">
      <c r="A3" s="60" t="str">
        <f>B3&amp;"-"&amp;C3</f>
        <v>Conservador-PAPEL</v>
      </c>
      <c r="B3" s="60" t="s">
        <v>31</v>
      </c>
      <c r="C3" s="17" t="s">
        <v>23</v>
      </c>
      <c r="D3" s="66">
        <v>0.3</v>
      </c>
    </row>
    <row r="4" spans="1:4" x14ac:dyDescent="0.25">
      <c r="A4" s="60" t="str">
        <f t="shared" ref="A4:A20" si="0">B4&amp;"-"&amp;C4</f>
        <v>Conservador-TIJOLO</v>
      </c>
      <c r="B4" s="60" t="s">
        <v>31</v>
      </c>
      <c r="C4" s="17" t="s">
        <v>24</v>
      </c>
      <c r="D4" s="66">
        <v>0.5</v>
      </c>
    </row>
    <row r="5" spans="1:4" x14ac:dyDescent="0.25">
      <c r="A5" s="60" t="str">
        <f t="shared" si="0"/>
        <v>Conservador-HÍBRIDOS</v>
      </c>
      <c r="B5" s="60" t="s">
        <v>31</v>
      </c>
      <c r="C5" s="17" t="s">
        <v>25</v>
      </c>
      <c r="D5" s="66">
        <v>0.1</v>
      </c>
    </row>
    <row r="6" spans="1:4" x14ac:dyDescent="0.25">
      <c r="A6" s="60" t="str">
        <f t="shared" si="0"/>
        <v>Conservador-FOF</v>
      </c>
      <c r="B6" s="60" t="s">
        <v>31</v>
      </c>
      <c r="C6" s="17" t="s">
        <v>26</v>
      </c>
      <c r="D6" s="66">
        <v>0.1</v>
      </c>
    </row>
    <row r="7" spans="1:4" x14ac:dyDescent="0.25">
      <c r="A7" s="60" t="str">
        <f t="shared" si="0"/>
        <v>Conservador-DESENVOLVIMENTO</v>
      </c>
      <c r="B7" s="60" t="s">
        <v>31</v>
      </c>
      <c r="C7" s="17" t="s">
        <v>27</v>
      </c>
      <c r="D7" s="66">
        <v>0</v>
      </c>
    </row>
    <row r="8" spans="1:4" ht="15.75" thickBot="1" x14ac:dyDescent="0.3">
      <c r="A8" s="61" t="str">
        <f t="shared" si="0"/>
        <v>Conservador-HOTELARIAS</v>
      </c>
      <c r="B8" s="60" t="s">
        <v>31</v>
      </c>
      <c r="C8" s="62" t="s">
        <v>28</v>
      </c>
      <c r="D8" s="67">
        <v>0</v>
      </c>
    </row>
    <row r="9" spans="1:4" ht="15.75" thickTop="1" x14ac:dyDescent="0.25">
      <c r="A9" s="63" t="str">
        <f t="shared" si="0"/>
        <v>Moderado-PAPEL</v>
      </c>
      <c r="B9" s="63" t="s">
        <v>33</v>
      </c>
      <c r="C9" s="64" t="s">
        <v>23</v>
      </c>
      <c r="D9" s="68">
        <v>0.22</v>
      </c>
    </row>
    <row r="10" spans="1:4" x14ac:dyDescent="0.25">
      <c r="A10" s="60" t="str">
        <f t="shared" si="0"/>
        <v>Moderado-TIJOLO</v>
      </c>
      <c r="B10" s="60" t="s">
        <v>33</v>
      </c>
      <c r="C10" s="17" t="s">
        <v>24</v>
      </c>
      <c r="D10" s="66">
        <v>0.4</v>
      </c>
    </row>
    <row r="11" spans="1:4" x14ac:dyDescent="0.25">
      <c r="A11" s="60" t="str">
        <f t="shared" si="0"/>
        <v>Moderado-HÍBRIDOS</v>
      </c>
      <c r="B11" s="60" t="s">
        <v>33</v>
      </c>
      <c r="C11" s="17" t="s">
        <v>25</v>
      </c>
      <c r="D11" s="66">
        <v>0.08</v>
      </c>
    </row>
    <row r="12" spans="1:4" x14ac:dyDescent="0.25">
      <c r="A12" s="60" t="str">
        <f t="shared" si="0"/>
        <v>Moderado-FOF</v>
      </c>
      <c r="B12" s="60" t="s">
        <v>33</v>
      </c>
      <c r="C12" s="17" t="s">
        <v>26</v>
      </c>
      <c r="D12" s="66">
        <v>0.1</v>
      </c>
    </row>
    <row r="13" spans="1:4" x14ac:dyDescent="0.25">
      <c r="A13" s="60" t="str">
        <f t="shared" si="0"/>
        <v>Moderado-DESENVOLVIMENTO</v>
      </c>
      <c r="B13" s="60" t="s">
        <v>33</v>
      </c>
      <c r="C13" s="17" t="s">
        <v>27</v>
      </c>
      <c r="D13" s="66">
        <v>0.1</v>
      </c>
    </row>
    <row r="14" spans="1:4" ht="15.75" thickBot="1" x14ac:dyDescent="0.3">
      <c r="A14" s="61" t="str">
        <f t="shared" si="0"/>
        <v>Moderado-HOTELARIAS</v>
      </c>
      <c r="B14" s="61" t="s">
        <v>33</v>
      </c>
      <c r="C14" s="62" t="s">
        <v>28</v>
      </c>
      <c r="D14" s="67">
        <v>0.1</v>
      </c>
    </row>
    <row r="15" spans="1:4" ht="15.75" thickTop="1" x14ac:dyDescent="0.25">
      <c r="A15" s="63" t="str">
        <f t="shared" si="0"/>
        <v>Agressivo-PAPEL</v>
      </c>
      <c r="B15" s="63" t="s">
        <v>18</v>
      </c>
      <c r="C15" s="64" t="s">
        <v>23</v>
      </c>
      <c r="D15" s="68">
        <v>0.5</v>
      </c>
    </row>
    <row r="16" spans="1:4" x14ac:dyDescent="0.25">
      <c r="A16" s="60" t="str">
        <f t="shared" si="0"/>
        <v>Agressivo-TIJOLO</v>
      </c>
      <c r="B16" s="60" t="s">
        <v>18</v>
      </c>
      <c r="C16" s="17" t="s">
        <v>24</v>
      </c>
      <c r="D16" s="66">
        <v>0.1</v>
      </c>
    </row>
    <row r="17" spans="1:4" x14ac:dyDescent="0.25">
      <c r="A17" s="60" t="str">
        <f t="shared" si="0"/>
        <v>Agressivo-HÍBRIDOS</v>
      </c>
      <c r="B17" s="60" t="s">
        <v>18</v>
      </c>
      <c r="C17" s="17" t="s">
        <v>25</v>
      </c>
      <c r="D17" s="66">
        <v>0.05</v>
      </c>
    </row>
    <row r="18" spans="1:4" x14ac:dyDescent="0.25">
      <c r="A18" s="60" t="str">
        <f t="shared" si="0"/>
        <v>Agressivo-FOF</v>
      </c>
      <c r="B18" s="60" t="s">
        <v>18</v>
      </c>
      <c r="C18" s="17" t="s">
        <v>26</v>
      </c>
      <c r="D18" s="66">
        <v>0.05</v>
      </c>
    </row>
    <row r="19" spans="1:4" x14ac:dyDescent="0.25">
      <c r="A19" s="60" t="str">
        <f t="shared" si="0"/>
        <v>Agressivo-DESENVOLVIMENTO</v>
      </c>
      <c r="B19" s="60" t="s">
        <v>18</v>
      </c>
      <c r="C19" s="17" t="s">
        <v>27</v>
      </c>
      <c r="D19" s="66">
        <v>0.2</v>
      </c>
    </row>
    <row r="20" spans="1:4" ht="15.75" thickBot="1" x14ac:dyDescent="0.3">
      <c r="A20" s="61" t="str">
        <f t="shared" si="0"/>
        <v>Agressivo-HOTELARIAS</v>
      </c>
      <c r="B20" s="61" t="s">
        <v>18</v>
      </c>
      <c r="C20" s="62" t="s">
        <v>28</v>
      </c>
      <c r="D20" s="67">
        <v>0.1</v>
      </c>
    </row>
    <row r="21" spans="1:4" ht="15.75" thickTop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percentuais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alves</dc:creator>
  <cp:lastModifiedBy>pedro alves</cp:lastModifiedBy>
  <dcterms:created xsi:type="dcterms:W3CDTF">2026-01-07T21:17:40Z</dcterms:created>
  <dcterms:modified xsi:type="dcterms:W3CDTF">2026-01-08T22:54:52Z</dcterms:modified>
</cp:coreProperties>
</file>